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Dashboard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<sst xmlns="http://schemas.openxmlformats.org/spreadsheetml/2006/main" count="21" uniqueCount="21">
  <si>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✨ HABIT MASTERY 2026</t>
  </si>
  <si>
    <t>CHOOSE MONTH:</t>
  </si>
  <si>
    <t>January</t>
  </si>
  <si>
    <t>DATE</t>
  </si>
  <si>
    <t>GYM</t>
  </si>
  <si>
    <t>READING</t>
  </si>
  <si>
    <t>MEDITATION</t>
  </si>
  <si>
    <t>HYDRATION</t>
  </si>
  <si>
    <t>NO SUGAR</t>
  </si>
  <si>
    <t>CODING</t>
  </si>
  <si>
    <t>SLEEP</t>
  </si>
  <si>
    <t>JOURNAL</t>
  </si>
  <si>
    <t>MONTHLY PROGRESS</t>
  </si>
  <si>
    <t>Gym</t>
  </si>
  <si>
    <t>Reading</t>
  </si>
  <si>
    <t>Meditation</t>
  </si>
  <si>
    <t>Hydration</t>
  </si>
  <si>
    <t>No Sugar</t>
  </si>
  <si>
    <t>Coding</t>
  </si>
  <si>
    <t>Sleep</t>
  </si>
  <si>
    <t>Journal</t>
  </si>
</sst>
</file>

<file path=xl/styles.xml><?xml version="1.0" encoding="utf-8"?>
<styleSheet xmlns="http://schemas.openxmlformats.org/spreadsheetml/2006/main">
  <numFmts count="1">
    <numFmt numFmtId="164" formatCode="0%"/>
  </numFmts>
  <fonts count="7">
    <font>
      <sz val="11"/>
      <color theme="1"/>
      <name val="Calibri"/>
      <family val="2"/>
      <scheme val="minor"/>
    </font>
    <font>
      <b/>
      <sz val="26"/>
      <color rgb="FF2C3E50"/>
      <name val="Segoe UI"/>
      <family val="2"/>
    </font>
    <font>
      <i/>
      <sz val="10"/>
      <color rgb="FF7F8C8D"/>
      <name val="Segoe UI"/>
      <family val="2"/>
    </font>
    <font>
      <sz val="11"/>
      <color rgb="FF566573"/>
      <name val="Segoe UI"/>
      <family val="2"/>
    </font>
    <font>
      <b/>
      <sz val="11"/>
      <color theme="1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C3E50"/>
        <bgColor indexed="64"/>
      </patternFill>
    </fill>
  </fills>
  <borders count="4">
    <border>
      <left/>
      <right/>
      <top/>
      <bottom/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ill>
        <patternFill>
          <bgColor rgb="FFD4EFD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Consistency Score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Progress</c:v>
          </c:tx>
          <c:spPr>
            <a:solidFill>
              <a:srgbClr val="3498DB"/>
            </a:solidFill>
          </c:spPr>
          <c:cat>
            <c:strRef>
              <c:f>'My Dashboard'!$L$9:$L$16</c:f>
              <c:strCache>
                <c:ptCount val="8"/>
                <c:pt idx="0">
                  <c:v>Gym</c:v>
                </c:pt>
                <c:pt idx="1">
                  <c:v>Reading</c:v>
                </c:pt>
                <c:pt idx="2">
                  <c:v>Meditation</c:v>
                </c:pt>
                <c:pt idx="3">
                  <c:v>Hydration</c:v>
                </c:pt>
                <c:pt idx="4">
                  <c:v>No Sugar</c:v>
                </c:pt>
                <c:pt idx="5">
                  <c:v>Coding</c:v>
                </c:pt>
                <c:pt idx="6">
                  <c:v>Sleep</c:v>
                </c:pt>
                <c:pt idx="7">
                  <c:v>Journal</c:v>
                </c:pt>
              </c:strCache>
            </c:strRef>
          </c:cat>
          <c:val>
            <c:numRef>
              <c:f>'My Dashboard'!$M$9:$M$16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0</xdr:rowOff>
    </xdr:from>
    <xdr:to>
      <xdr:col>16</xdr:col>
      <xdr:colOff>171450</xdr:colOff>
      <xdr:row>27</xdr:row>
      <xdr:rowOff>257175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38"/>
  <sheetViews>
    <sheetView showGridLines="0" tabSelected="1" workbookViewId="0"/>
  </sheetViews>
  <sheetFormatPr defaultRowHeight="15"/>
  <cols>
    <col min="1" max="1" width="2.7109375" customWidth="1"/>
    <col min="2" max="2" width="18.7109375" customWidth="1"/>
    <col min="3" max="10" width="14.7109375" customWidth="1"/>
    <col min="11" max="11" width="5.7109375" customWidth="1"/>
    <col min="12" max="13" width="22.7109375" customWidth="1"/>
  </cols>
  <sheetData>
    <row r="1" spans="2:26">
      <c r="Z1">
        <f>MATCH(C4, {"January","February","March","April","May","June","July","August","September","October","November","December"}, 0)</f>
        <v>0</v>
      </c>
    </row>
    <row r="2" spans="2:26">
      <c r="B2" s="1" t="s">
        <v>0</v>
      </c>
    </row>
    <row r="3" spans="2:26">
      <c r="B3" s="2">
        <f>CHOOSE(MATCH(C4, {"January","February","March","April","May","June","July","August","September","October","November","December"}}, 0), "New year, new discipline.","Consistency is key.","Small steps every day.","Don't stop until you're proud.","Action is the foundational key.","Focus on the goal.","Discipline is freedom.","Keep showing up.","Success is a habit.","Make it happen.","Stay hungry, stay foolish.","Finish the year strong.")</f>
        <v>0</v>
      </c>
    </row>
    <row r="4" spans="2:26">
      <c r="B4" s="3" t="s">
        <v>1</v>
      </c>
      <c r="C4" s="4" t="s">
        <v>2</v>
      </c>
    </row>
    <row r="7" spans="2:26" ht="30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L7" s="5" t="s">
        <v>12</v>
      </c>
      <c r="M7" s="5"/>
    </row>
    <row r="8" spans="2:26" ht="22" customHeight="1">
      <c r="B8" s="6">
        <f>IF(MONTH(DATE(2026, $Z$1, 1))=$Z$1, DATE(2026, $Z$1, 1), "")</f>
        <v>0</v>
      </c>
      <c r="C8" s="7" t="b">
        <v>0</v>
      </c>
      <c r="D8" s="7" t="b">
        <v>0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</row>
    <row r="9" spans="2:26" ht="22" customHeight="1">
      <c r="B9" s="6">
        <f>IF(MONTH(DATE(2026, $Z$1, 2))=$Z$1, DATE(2026, $Z$1, 2), "")</f>
        <v>0</v>
      </c>
      <c r="C9" s="7" t="b">
        <v>0</v>
      </c>
      <c r="D9" s="7" t="b">
        <v>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L9" s="3" t="s">
        <v>13</v>
      </c>
      <c r="M9" s="8">
        <f>COUNTIF(C8:C38, TRUE)/DAY(EOMONTH(DATE(2026, $Z$1, 1), 0))</f>
        <v>0</v>
      </c>
    </row>
    <row r="10" spans="2:26" ht="22" customHeight="1">
      <c r="B10" s="6">
        <f>IF(MONTH(DATE(2026, $Z$1, 3))=$Z$1, DATE(2026, $Z$1, 3), "")</f>
        <v>0</v>
      </c>
      <c r="C10" s="7" t="b">
        <v>0</v>
      </c>
      <c r="D10" s="7" t="b">
        <v>0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L10" s="3" t="s">
        <v>14</v>
      </c>
      <c r="M10" s="8">
        <f>COUNTIF(D8:D38, TRUE)/DAY(EOMONTH(DATE(2026, $Z$1, 1), 0))</f>
        <v>0</v>
      </c>
    </row>
    <row r="11" spans="2:26" ht="22" customHeight="1">
      <c r="B11" s="6">
        <f>IF(MONTH(DATE(2026, $Z$1, 4))=$Z$1, DATE(2026, $Z$1, 4), "")</f>
        <v>0</v>
      </c>
      <c r="C11" s="7" t="b">
        <v>0</v>
      </c>
      <c r="D11" s="7" t="b">
        <v>0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L11" s="3" t="s">
        <v>15</v>
      </c>
      <c r="M11" s="8">
        <f>COUNTIF(E8:E38, TRUE)/DAY(EOMONTH(DATE(2026, $Z$1, 1), 0))</f>
        <v>0</v>
      </c>
    </row>
    <row r="12" spans="2:26" ht="22" customHeight="1">
      <c r="B12" s="6">
        <f>IF(MONTH(DATE(2026, $Z$1, 5))=$Z$1, DATE(2026, $Z$1, 5), "")</f>
        <v>0</v>
      </c>
      <c r="C12" s="7" t="b">
        <v>0</v>
      </c>
      <c r="D12" s="7" t="b">
        <v>0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L12" s="3" t="s">
        <v>16</v>
      </c>
      <c r="M12" s="8">
        <f>COUNTIF(F8:F38, TRUE)/DAY(EOMONTH(DATE(2026, $Z$1, 1), 0))</f>
        <v>0</v>
      </c>
    </row>
    <row r="13" spans="2:26" ht="22" customHeight="1">
      <c r="B13" s="6">
        <f>IF(MONTH(DATE(2026, $Z$1, 6))=$Z$1, DATE(2026, $Z$1, 6), "")</f>
        <v>0</v>
      </c>
      <c r="C13" s="7" t="b">
        <v>0</v>
      </c>
      <c r="D13" s="7" t="b">
        <v>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L13" s="3" t="s">
        <v>17</v>
      </c>
      <c r="M13" s="8">
        <f>COUNTIF(G8:G38, TRUE)/DAY(EOMONTH(DATE(2026, $Z$1, 1), 0))</f>
        <v>0</v>
      </c>
    </row>
    <row r="14" spans="2:26" ht="22" customHeight="1">
      <c r="B14" s="6">
        <f>IF(MONTH(DATE(2026, $Z$1, 7))=$Z$1, DATE(2026, $Z$1, 7), "")</f>
        <v>0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L14" s="3" t="s">
        <v>18</v>
      </c>
      <c r="M14" s="8">
        <f>COUNTIF(H8:H38, TRUE)/DAY(EOMONTH(DATE(2026, $Z$1, 1), 0))</f>
        <v>0</v>
      </c>
    </row>
    <row r="15" spans="2:26" ht="22" customHeight="1">
      <c r="B15" s="6">
        <f>IF(MONTH(DATE(2026, $Z$1, 8))=$Z$1, DATE(2026, $Z$1, 8), "")</f>
        <v>0</v>
      </c>
      <c r="C15" s="7" t="b">
        <v>0</v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L15" s="3" t="s">
        <v>19</v>
      </c>
      <c r="M15" s="8">
        <f>COUNTIF(I8:I38, TRUE)/DAY(EOMONTH(DATE(2026, $Z$1, 1), 0))</f>
        <v>0</v>
      </c>
    </row>
    <row r="16" spans="2:26" ht="22" customHeight="1">
      <c r="B16" s="6">
        <f>IF(MONTH(DATE(2026, $Z$1, 9))=$Z$1, DATE(2026, $Z$1, 9), "")</f>
        <v>0</v>
      </c>
      <c r="C16" s="7" t="b">
        <v>0</v>
      </c>
      <c r="D16" s="7" t="b">
        <v>0</v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L16" s="3" t="s">
        <v>20</v>
      </c>
      <c r="M16" s="8">
        <f>COUNTIF(J8:J38, TRUE)/DAY(EOMONTH(DATE(2026, $Z$1, 1), 0))</f>
        <v>0</v>
      </c>
    </row>
    <row r="17" spans="2:10" ht="22" customHeight="1">
      <c r="B17" s="6">
        <f>IF(MONTH(DATE(2026, $Z$1, 10))=$Z$1, DATE(2026, $Z$1, 10), "")</f>
        <v>0</v>
      </c>
      <c r="C17" s="7" t="b">
        <v>0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</row>
    <row r="18" spans="2:10" ht="22" customHeight="1">
      <c r="B18" s="6">
        <f>IF(MONTH(DATE(2026, $Z$1, 11))=$Z$1, DATE(2026, $Z$1, 11), "")</f>
        <v>0</v>
      </c>
      <c r="C18" s="7" t="b">
        <v>0</v>
      </c>
      <c r="D18" s="7" t="b">
        <v>0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</row>
    <row r="19" spans="2:10" ht="22" customHeight="1">
      <c r="B19" s="6">
        <f>IF(MONTH(DATE(2026, $Z$1, 12))=$Z$1, DATE(2026, $Z$1, 12), "")</f>
        <v>0</v>
      </c>
      <c r="C19" s="7" t="b">
        <v>0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</row>
    <row r="20" spans="2:10" ht="22" customHeight="1">
      <c r="B20" s="6">
        <f>IF(MONTH(DATE(2026, $Z$1, 13))=$Z$1, DATE(2026, $Z$1, 13), "")</f>
        <v>0</v>
      </c>
      <c r="C20" s="7" t="b">
        <v>0</v>
      </c>
      <c r="D20" s="7" t="b">
        <v>0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</row>
    <row r="21" spans="2:10" ht="22" customHeight="1">
      <c r="B21" s="6">
        <f>IF(MONTH(DATE(2026, $Z$1, 14))=$Z$1, DATE(2026, $Z$1, 14), "")</f>
        <v>0</v>
      </c>
      <c r="C21" s="7" t="b">
        <v>0</v>
      </c>
      <c r="D21" s="7" t="b">
        <v>0</v>
      </c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</row>
    <row r="22" spans="2:10" ht="22" customHeight="1">
      <c r="B22" s="6">
        <f>IF(MONTH(DATE(2026, $Z$1, 15))=$Z$1, DATE(2026, $Z$1, 15), "")</f>
        <v>0</v>
      </c>
      <c r="C22" s="7" t="b">
        <v>0</v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</row>
    <row r="23" spans="2:10" ht="22" customHeight="1">
      <c r="B23" s="6">
        <f>IF(MONTH(DATE(2026, $Z$1, 16))=$Z$1, DATE(2026, $Z$1, 16), "")</f>
        <v>0</v>
      </c>
      <c r="C23" s="7" t="b">
        <v>0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</row>
    <row r="24" spans="2:10" ht="22" customHeight="1">
      <c r="B24" s="6">
        <f>IF(MONTH(DATE(2026, $Z$1, 17))=$Z$1, DATE(2026, $Z$1, 17), "")</f>
        <v>0</v>
      </c>
      <c r="C24" s="7" t="b">
        <v>0</v>
      </c>
      <c r="D24" s="7" t="b">
        <v>0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</row>
    <row r="25" spans="2:10" ht="22" customHeight="1">
      <c r="B25" s="6">
        <f>IF(MONTH(DATE(2026, $Z$1, 18))=$Z$1, DATE(2026, $Z$1, 18), "")</f>
        <v>0</v>
      </c>
      <c r="C25" s="7" t="b">
        <v>0</v>
      </c>
      <c r="D25" s="7" t="b">
        <v>0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</row>
    <row r="26" spans="2:10" ht="22" customHeight="1">
      <c r="B26" s="6">
        <f>IF(MONTH(DATE(2026, $Z$1, 19))=$Z$1, DATE(2026, $Z$1, 19), "")</f>
        <v>0</v>
      </c>
      <c r="C26" s="7" t="b">
        <v>0</v>
      </c>
      <c r="D26" s="7" t="b">
        <v>0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</row>
    <row r="27" spans="2:10" ht="22" customHeight="1">
      <c r="B27" s="6">
        <f>IF(MONTH(DATE(2026, $Z$1, 20))=$Z$1, DATE(2026, $Z$1, 20), "")</f>
        <v>0</v>
      </c>
      <c r="C27" s="7" t="b">
        <v>0</v>
      </c>
      <c r="D27" s="7" t="b">
        <v>0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</row>
    <row r="28" spans="2:10" ht="22" customHeight="1">
      <c r="B28" s="6">
        <f>IF(MONTH(DATE(2026, $Z$1, 21))=$Z$1, DATE(2026, $Z$1, 21), "")</f>
        <v>0</v>
      </c>
      <c r="C28" s="7" t="b">
        <v>0</v>
      </c>
      <c r="D28" s="7" t="b">
        <v>0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</row>
    <row r="29" spans="2:10" ht="22" customHeight="1">
      <c r="B29" s="6">
        <f>IF(MONTH(DATE(2026, $Z$1, 22))=$Z$1, DATE(2026, $Z$1, 22), "")</f>
        <v>0</v>
      </c>
      <c r="C29" s="7" t="b">
        <v>0</v>
      </c>
      <c r="D29" s="7" t="b">
        <v>0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</row>
    <row r="30" spans="2:10" ht="22" customHeight="1">
      <c r="B30" s="6">
        <f>IF(MONTH(DATE(2026, $Z$1, 23))=$Z$1, DATE(2026, $Z$1, 23), "")</f>
        <v>0</v>
      </c>
      <c r="C30" s="7" t="b">
        <v>0</v>
      </c>
      <c r="D30" s="7" t="b">
        <v>0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</row>
    <row r="31" spans="2:10" ht="22" customHeight="1">
      <c r="B31" s="6">
        <f>IF(MONTH(DATE(2026, $Z$1, 24))=$Z$1, DATE(2026, $Z$1, 24), "")</f>
        <v>0</v>
      </c>
      <c r="C31" s="7" t="b">
        <v>0</v>
      </c>
      <c r="D31" s="7" t="b">
        <v>0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</row>
    <row r="32" spans="2:10" ht="22" customHeight="1">
      <c r="B32" s="6">
        <f>IF(MONTH(DATE(2026, $Z$1, 25))=$Z$1, DATE(2026, $Z$1, 25), "")</f>
        <v>0</v>
      </c>
      <c r="C32" s="7" t="b">
        <v>0</v>
      </c>
      <c r="D32" s="7" t="b">
        <v>0</v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</row>
    <row r="33" spans="2:10" ht="22" customHeight="1">
      <c r="B33" s="6">
        <f>IF(MONTH(DATE(2026, $Z$1, 26))=$Z$1, DATE(2026, $Z$1, 26), "")</f>
        <v>0</v>
      </c>
      <c r="C33" s="7" t="b">
        <v>0</v>
      </c>
      <c r="D33" s="7" t="b">
        <v>0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</row>
    <row r="34" spans="2:10" ht="22" customHeight="1">
      <c r="B34" s="6">
        <f>IF(MONTH(DATE(2026, $Z$1, 27))=$Z$1, DATE(2026, $Z$1, 27), "")</f>
        <v>0</v>
      </c>
      <c r="C34" s="7" t="b">
        <v>0</v>
      </c>
      <c r="D34" s="7" t="b">
        <v>0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</row>
    <row r="35" spans="2:10" ht="22" customHeight="1">
      <c r="B35" s="6">
        <f>IF(MONTH(DATE(2026, $Z$1, 28))=$Z$1, DATE(2026, $Z$1, 28), "")</f>
        <v>0</v>
      </c>
      <c r="C35" s="7" t="b">
        <v>0</v>
      </c>
      <c r="D35" s="7" t="b">
        <v>0</v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</row>
    <row r="36" spans="2:10" ht="22" customHeight="1">
      <c r="B36" s="6">
        <f>IF(MONTH(DATE(2026, $Z$1, 29))=$Z$1, DATE(2026, $Z$1, 29), "")</f>
        <v>0</v>
      </c>
      <c r="C36" s="7" t="b">
        <v>0</v>
      </c>
      <c r="D36" s="7" t="b">
        <v>0</v>
      </c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7" t="b">
        <v>0</v>
      </c>
    </row>
    <row r="37" spans="2:10" ht="22" customHeight="1">
      <c r="B37" s="6">
        <f>IF(MONTH(DATE(2026, $Z$1, 30))=$Z$1, DATE(2026, $Z$1, 30), "")</f>
        <v>0</v>
      </c>
      <c r="C37" s="7" t="b">
        <v>0</v>
      </c>
      <c r="D37" s="7" t="b">
        <v>0</v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</row>
    <row r="38" spans="2:10" ht="22" customHeight="1">
      <c r="B38" s="6">
        <f>IF(MONTH(DATE(2026, $Z$1, 31))=$Z$1, DATE(2026, $Z$1, 31), "")</f>
        <v>0</v>
      </c>
      <c r="C38" s="7" t="b">
        <v>0</v>
      </c>
      <c r="D38" s="7" t="b">
        <v>0</v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</row>
  </sheetData>
  <mergeCells count="1">
    <mergeCell ref="L7:M7"/>
  </mergeCells>
  <conditionalFormatting sqref="C8:J38">
    <cfRule type="expression" dxfId="0" priority="1">
      <formula>AND(C8=TRUE, $B8&lt;&gt;"")</formula>
    </cfRule>
  </conditionalFormatting>
  <dataValidations count="1">
    <dataValidation type="list" allowBlank="1" showInputMessage="1" showErrorMessage="1" sqref="C4">
      <formula1>"January,February,March,April,May,June,July,August,September,October,November,December"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2026-01-05T16:08:59Z</dcterms:created>
  <dcterms:modified xsi:type="dcterms:W3CDTF">2026-01-05T16:08:59Z</dcterms:modified>
</cp:coreProperties>
</file>